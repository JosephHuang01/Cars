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a4f6975e0189fcb/Documents/Source/Cars/unit_tests/"/>
    </mc:Choice>
  </mc:AlternateContent>
  <xr:revisionPtr revIDLastSave="305" documentId="8_{EBE1DB55-C704-4BE3-A773-BFD4AD0C5B35}" xr6:coauthVersionLast="47" xr6:coauthVersionMax="47" xr10:uidLastSave="{AD77B93D-2575-4C7F-96E3-4A46EB12EB3B}"/>
  <bookViews>
    <workbookView xWindow="-108" yWindow="-108" windowWidth="23256" windowHeight="12456" activeTab="6" xr2:uid="{E1449062-40AE-488A-A0E8-5543147B756E}"/>
  </bookViews>
  <sheets>
    <sheet name="TC-D5" sheetId="1" r:id="rId1"/>
    <sheet name="TC-D2-FG-D1" sheetId="2" r:id="rId2"/>
    <sheet name="Sheet1" sheetId="3" r:id="rId3"/>
    <sheet name="Design" sheetId="5" r:id="rId4"/>
    <sheet name="Database-Design" sheetId="6" r:id="rId5"/>
    <sheet name="App-Design" sheetId="7" r:id="rId6"/>
    <sheet name="Map" sheetId="8" r:id="rId7"/>
    <sheet name="CoordinateDirection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4" l="1"/>
  <c r="K14" i="4"/>
  <c r="K15" i="4"/>
  <c r="K12" i="4"/>
  <c r="L12" i="2"/>
  <c r="K12" i="2"/>
  <c r="G12" i="2"/>
  <c r="G15" i="2"/>
  <c r="G18" i="2"/>
  <c r="L10" i="2"/>
  <c r="L11" i="2"/>
  <c r="H13" i="1"/>
  <c r="H14" i="1"/>
  <c r="H15" i="1"/>
  <c r="H16" i="1"/>
  <c r="H17" i="1"/>
  <c r="H18" i="1"/>
  <c r="H12" i="1"/>
  <c r="L9" i="2"/>
  <c r="J11" i="2"/>
  <c r="K9" i="2"/>
  <c r="G9" i="2"/>
  <c r="J10" i="2" s="1"/>
  <c r="G18" i="1"/>
  <c r="F18" i="1"/>
  <c r="G17" i="1"/>
  <c r="F17" i="1"/>
  <c r="F16" i="1"/>
  <c r="G16" i="1" s="1"/>
  <c r="G15" i="1"/>
  <c r="F15" i="1"/>
  <c r="G14" i="1"/>
  <c r="F14" i="1"/>
  <c r="G13" i="1"/>
  <c r="G12" i="1"/>
  <c r="F13" i="1"/>
  <c r="C12" i="1"/>
  <c r="K10" i="2" l="1"/>
  <c r="K11" i="2" l="1"/>
</calcChain>
</file>

<file path=xl/sharedStrings.xml><?xml version="1.0" encoding="utf-8"?>
<sst xmlns="http://schemas.openxmlformats.org/spreadsheetml/2006/main" count="176" uniqueCount="129">
  <si>
    <t>Gallon per mile</t>
  </si>
  <si>
    <t>Distance</t>
  </si>
  <si>
    <t>Gallon Left</t>
  </si>
  <si>
    <t>Gallons Left</t>
  </si>
  <si>
    <t>Capacity</t>
  </si>
  <si>
    <t>Gallon Used</t>
  </si>
  <si>
    <t>Life</t>
  </si>
  <si>
    <t>Fill Gas</t>
  </si>
  <si>
    <t>LEFT</t>
  </si>
  <si>
    <t>RIGHT</t>
  </si>
  <si>
    <t>BACKWARD</t>
  </si>
  <si>
    <t>FORWARD</t>
  </si>
  <si>
    <t>(+, 0)</t>
  </si>
  <si>
    <t>(-, 0)</t>
  </si>
  <si>
    <t>(0, +)</t>
  </si>
  <si>
    <t>(0, -)</t>
  </si>
  <si>
    <t>(0, 60)</t>
  </si>
  <si>
    <t>(-120, 60)</t>
  </si>
  <si>
    <t>Position X</t>
  </si>
  <si>
    <t>Position Y</t>
  </si>
  <si>
    <t>Direction</t>
  </si>
  <si>
    <t>Coordinate Direction</t>
  </si>
  <si>
    <t>Init</t>
  </si>
  <si>
    <t>Forward</t>
  </si>
  <si>
    <t>Y+</t>
  </si>
  <si>
    <t>Move/Travel</t>
  </si>
  <si>
    <t>Move forward, 60</t>
  </si>
  <si>
    <t>Turn left, 120</t>
  </si>
  <si>
    <t>Left</t>
  </si>
  <si>
    <t>X-</t>
  </si>
  <si>
    <t>Y Plus</t>
  </si>
  <si>
    <t>Driving Direction</t>
  </si>
  <si>
    <t>Right</t>
  </si>
  <si>
    <t>Back</t>
  </si>
  <si>
    <t>Y Minus</t>
  </si>
  <si>
    <t>X Plus</t>
  </si>
  <si>
    <t>X Minus</t>
  </si>
  <si>
    <t>AssembleLine</t>
  </si>
  <si>
    <t>GasCarAssembleLine</t>
  </si>
  <si>
    <t>ElectricCarAssembleLine</t>
  </si>
  <si>
    <t>car</t>
  </si>
  <si>
    <t>Variables</t>
  </si>
  <si>
    <t>Methods:</t>
  </si>
  <si>
    <t>BuildCarBody</t>
  </si>
  <si>
    <t>AddGasTank</t>
  </si>
  <si>
    <t>AddBattery</t>
  </si>
  <si>
    <t>Database</t>
  </si>
  <si>
    <t>CarExplorer</t>
  </si>
  <si>
    <t>Schema/Folder</t>
  </si>
  <si>
    <t>game</t>
  </si>
  <si>
    <t>Table</t>
  </si>
  <si>
    <t>CarID</t>
  </si>
  <si>
    <t>Model</t>
  </si>
  <si>
    <t>game.Cars</t>
  </si>
  <si>
    <t>game.Trips</t>
  </si>
  <si>
    <t>Make</t>
  </si>
  <si>
    <t>Year</t>
  </si>
  <si>
    <t>TripID</t>
  </si>
  <si>
    <t>StartX</t>
  </si>
  <si>
    <t>StartY</t>
  </si>
  <si>
    <t>EndX</t>
  </si>
  <si>
    <t>EndY</t>
  </si>
  <si>
    <t>StartDateTime</t>
  </si>
  <si>
    <t>EndDateTime</t>
  </si>
  <si>
    <t>select top 5 * from cars</t>
  </si>
  <si>
    <t>Get the first row from the result set</t>
  </si>
  <si>
    <t>print the row out</t>
  </si>
  <si>
    <t>Get the individual fields from the first row</t>
  </si>
  <si>
    <t>assign to python variable, carid, make, model, year</t>
  </si>
  <si>
    <t>Get the trips using the car id order by end time desc</t>
  </si>
  <si>
    <t xml:space="preserve">Assign to python variable, </t>
  </si>
  <si>
    <t>Build the car using the fields above, car_a</t>
  </si>
  <si>
    <t>Assign the car above with ending X and Y</t>
  </si>
  <si>
    <t>Car game</t>
  </si>
  <si>
    <t xml:space="preserve">database </t>
  </si>
  <si>
    <t>car explorer</t>
  </si>
  <si>
    <t>&lt;-----&gt;</t>
  </si>
  <si>
    <t>app layer</t>
  </si>
  <si>
    <t>database layer</t>
  </si>
  <si>
    <t>CRUD</t>
  </si>
  <si>
    <t>main.py</t>
  </si>
  <si>
    <t>List of Positions</t>
  </si>
  <si>
    <t>CarGame(destinations)</t>
  </si>
  <si>
    <t>Game  (Run game)</t>
  </si>
  <si>
    <t>AiSetting</t>
  </si>
  <si>
    <t>Screen</t>
  </si>
  <si>
    <t>Car explorer</t>
  </si>
  <si>
    <t>Map</t>
  </si>
  <si>
    <t>Status 1</t>
  </si>
  <si>
    <t>Status 2</t>
  </si>
  <si>
    <t>Status N</t>
  </si>
  <si>
    <t>Seattle</t>
  </si>
  <si>
    <t>Los Angeles</t>
  </si>
  <si>
    <t>Atlanta</t>
  </si>
  <si>
    <t>New York</t>
  </si>
  <si>
    <t>(x,y)</t>
  </si>
  <si>
    <t xml:space="preserve">top, left </t>
  </si>
  <si>
    <t>City</t>
  </si>
  <si>
    <t>draw_rectangle(position, w, h)</t>
  </si>
  <si>
    <t>self.map.draw_rectange(self.position, w, h)</t>
  </si>
  <si>
    <t>show(self)</t>
  </si>
  <si>
    <t>Shape</t>
  </si>
  <si>
    <t>screen</t>
  </si>
  <si>
    <t>pygame</t>
  </si>
  <si>
    <t>draw_rectangle</t>
  </si>
  <si>
    <t>draw_text_on_rectangle</t>
  </si>
  <si>
    <t>show</t>
  </si>
  <si>
    <t>name</t>
  </si>
  <si>
    <t>type</t>
  </si>
  <si>
    <t>position</t>
  </si>
  <si>
    <t>Car</t>
  </si>
  <si>
    <t>Person</t>
  </si>
  <si>
    <t>Instance variables</t>
  </si>
  <si>
    <t>game.Cities</t>
  </si>
  <si>
    <t>CityID</t>
  </si>
  <si>
    <t>All the fields in the City class</t>
  </si>
  <si>
    <t>Car Explorer, Data Access Layer (DAL), Data Access Object (DAO)</t>
  </si>
  <si>
    <t>get_cities</t>
  </si>
  <si>
    <t>get all cities</t>
  </si>
  <si>
    <t xml:space="preserve">for each city </t>
  </si>
  <si>
    <t>build a city object</t>
  </si>
  <si>
    <t>return all cities</t>
  </si>
  <si>
    <t>CityRepo, Data Access Layer (DAL), Data Access Object (DAO)</t>
  </si>
  <si>
    <t>CityRepo</t>
  </si>
  <si>
    <t>Cities</t>
  </si>
  <si>
    <t>dto</t>
  </si>
  <si>
    <t>Builder</t>
  </si>
  <si>
    <t>C</t>
  </si>
  <si>
    <t>CityDto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</si>
</sst>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9" xfId="0" applyFill="1" applyBorder="1"/>
    <xf numFmtId="0" fontId="0" fillId="2" borderId="0" xfId="0" applyFill="1"/>
    <xf numFmtId="0" fontId="0" fillId="3" borderId="9" xfId="0" applyFill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260032</xdr:colOff>
      <xdr:row>11</xdr:row>
      <xdr:rowOff>121919</xdr:rowOff>
    </xdr:from>
    <xdr:to>
      <xdr:col>7</xdr:col>
      <xdr:colOff>384809</xdr:colOff>
      <xdr:row>11</xdr:row>
      <xdr:rowOff>352425</xdr:rowOff>
    </xdr:to>
    <xdr:sp macro="" textlink="">
      <xdr:nvSpPr>
        <xdr:cNvPr id="2" name="Arrow: Down 1">
          <a:extLst>
            <a:ext uri="{FF2B5EF4-FFF2-40B4-BE49-F238E27FC236}">
              <a16:creationId xmlns:a16="http://schemas.microsoft.com/office/drawing/2014/main" id="{C49181A4-BC78-AA69-ECB7-13196E539FE5}"/>
            </a:ext>
          </a:extLst>
        </xdr:cNvPr>
        <xdr:cNvSpPr/>
      </xdr:nvSpPr>
      <xdr:spPr>
        <a:xfrm rot="10800000">
          <a:off x="5546407" y="2112644"/>
          <a:ext cx="124777" cy="230506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247650</xdr:colOff>
      <xdr:row>12</xdr:row>
      <xdr:rowOff>91440</xdr:rowOff>
    </xdr:from>
    <xdr:to>
      <xdr:col>7</xdr:col>
      <xdr:colOff>382905</xdr:colOff>
      <xdr:row>12</xdr:row>
      <xdr:rowOff>373380</xdr:rowOff>
    </xdr:to>
    <xdr:sp macro="" textlink="">
      <xdr:nvSpPr>
        <xdr:cNvPr id="3" name="Arrow: Down 2">
          <a:extLst>
            <a:ext uri="{FF2B5EF4-FFF2-40B4-BE49-F238E27FC236}">
              <a16:creationId xmlns:a16="http://schemas.microsoft.com/office/drawing/2014/main" id="{2C8CFAFB-3412-4BE9-9D69-6CF013ACB9CA}"/>
            </a:ext>
          </a:extLst>
        </xdr:cNvPr>
        <xdr:cNvSpPr/>
      </xdr:nvSpPr>
      <xdr:spPr>
        <a:xfrm>
          <a:off x="5534025" y="2520315"/>
          <a:ext cx="135255" cy="281940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141447</xdr:colOff>
      <xdr:row>13</xdr:row>
      <xdr:rowOff>231933</xdr:rowOff>
    </xdr:from>
    <xdr:to>
      <xdr:col>7</xdr:col>
      <xdr:colOff>455294</xdr:colOff>
      <xdr:row>13</xdr:row>
      <xdr:rowOff>352425</xdr:rowOff>
    </xdr:to>
    <xdr:sp macro="" textlink="">
      <xdr:nvSpPr>
        <xdr:cNvPr id="4" name="Arrow: Down 3">
          <a:extLst>
            <a:ext uri="{FF2B5EF4-FFF2-40B4-BE49-F238E27FC236}">
              <a16:creationId xmlns:a16="http://schemas.microsoft.com/office/drawing/2014/main" id="{E1F9D631-D1AB-44D1-A503-D2A015CC86B7}"/>
            </a:ext>
          </a:extLst>
        </xdr:cNvPr>
        <xdr:cNvSpPr/>
      </xdr:nvSpPr>
      <xdr:spPr>
        <a:xfrm rot="16200000">
          <a:off x="5524500" y="3002280"/>
          <a:ext cx="120492" cy="313847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149066</xdr:colOff>
      <xdr:row>14</xdr:row>
      <xdr:rowOff>188122</xdr:rowOff>
    </xdr:from>
    <xdr:to>
      <xdr:col>7</xdr:col>
      <xdr:colOff>411480</xdr:colOff>
      <xdr:row>14</xdr:row>
      <xdr:rowOff>310519</xdr:rowOff>
    </xdr:to>
    <xdr:sp macro="" textlink="">
      <xdr:nvSpPr>
        <xdr:cNvPr id="5" name="Arrow: Down 4">
          <a:extLst>
            <a:ext uri="{FF2B5EF4-FFF2-40B4-BE49-F238E27FC236}">
              <a16:creationId xmlns:a16="http://schemas.microsoft.com/office/drawing/2014/main" id="{93C99BF7-E182-45FB-9F96-FAD24D6E6D7F}"/>
            </a:ext>
          </a:extLst>
        </xdr:cNvPr>
        <xdr:cNvSpPr/>
      </xdr:nvSpPr>
      <xdr:spPr>
        <a:xfrm rot="5400000">
          <a:off x="5505449" y="3423289"/>
          <a:ext cx="122397" cy="262414"/>
        </a:xfrm>
        <a:prstGeom prst="down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65DEE-D8FA-4774-92ED-BECBF0DE8921}">
  <dimension ref="B6:H18"/>
  <sheetViews>
    <sheetView workbookViewId="0">
      <selection activeCell="H12" sqref="H12:H18"/>
    </sheetView>
  </sheetViews>
  <sheetFormatPr defaultRowHeight="14.4" x14ac:dyDescent="0.3"/>
  <cols>
    <col min="2" max="2" width="14.5546875" customWidth="1"/>
    <col min="3" max="3" width="12.6640625" customWidth="1"/>
    <col min="4" max="4" width="18.21875" customWidth="1"/>
    <col min="5" max="5" width="19.5546875" customWidth="1"/>
    <col min="6" max="6" width="16.6640625" customWidth="1"/>
    <col min="7" max="7" width="10.6640625" customWidth="1"/>
    <col min="8" max="8" width="11.6640625" customWidth="1"/>
    <col min="9" max="9" width="12.33203125" customWidth="1"/>
  </cols>
  <sheetData>
    <row r="6" spans="2:8" x14ac:dyDescent="0.3">
      <c r="B6" t="s">
        <v>4</v>
      </c>
      <c r="C6">
        <v>15</v>
      </c>
    </row>
    <row r="7" spans="2:8" x14ac:dyDescent="0.3">
      <c r="B7" t="s">
        <v>0</v>
      </c>
      <c r="C7">
        <v>0.05</v>
      </c>
    </row>
    <row r="9" spans="2:8" x14ac:dyDescent="0.3">
      <c r="B9" t="s">
        <v>3</v>
      </c>
      <c r="C9">
        <v>15</v>
      </c>
    </row>
    <row r="11" spans="2:8" x14ac:dyDescent="0.3">
      <c r="B11" t="s">
        <v>4</v>
      </c>
      <c r="C11" t="s">
        <v>0</v>
      </c>
      <c r="E11" t="s">
        <v>1</v>
      </c>
      <c r="F11" t="s">
        <v>5</v>
      </c>
      <c r="G11" t="s">
        <v>2</v>
      </c>
      <c r="H11" t="s">
        <v>6</v>
      </c>
    </row>
    <row r="12" spans="2:8" x14ac:dyDescent="0.3">
      <c r="B12">
        <v>15</v>
      </c>
      <c r="C12">
        <f>C7</f>
        <v>0.05</v>
      </c>
      <c r="E12">
        <v>0</v>
      </c>
      <c r="F12">
        <v>0</v>
      </c>
      <c r="G12">
        <f>B12</f>
        <v>15</v>
      </c>
      <c r="H12">
        <f>G12/B12</f>
        <v>1</v>
      </c>
    </row>
    <row r="13" spans="2:8" x14ac:dyDescent="0.3">
      <c r="B13">
        <v>15</v>
      </c>
      <c r="C13">
        <v>0.05</v>
      </c>
      <c r="E13">
        <v>75</v>
      </c>
      <c r="F13">
        <f t="shared" ref="F13:F18" si="0">E13*C12</f>
        <v>3.75</v>
      </c>
      <c r="G13">
        <f t="shared" ref="G13:G18" si="1">G12-F13</f>
        <v>11.25</v>
      </c>
      <c r="H13">
        <f t="shared" ref="H13:H18" si="2">G13/B13</f>
        <v>0.75</v>
      </c>
    </row>
    <row r="14" spans="2:8" x14ac:dyDescent="0.3">
      <c r="B14">
        <v>15</v>
      </c>
      <c r="C14">
        <v>0.05</v>
      </c>
      <c r="E14">
        <v>50</v>
      </c>
      <c r="F14">
        <f t="shared" si="0"/>
        <v>2.5</v>
      </c>
      <c r="G14">
        <f t="shared" si="1"/>
        <v>8.75</v>
      </c>
      <c r="H14">
        <f t="shared" si="2"/>
        <v>0.58333333333333337</v>
      </c>
    </row>
    <row r="15" spans="2:8" x14ac:dyDescent="0.3">
      <c r="B15">
        <v>15</v>
      </c>
      <c r="C15">
        <v>0.05</v>
      </c>
      <c r="E15">
        <v>75</v>
      </c>
      <c r="F15">
        <f t="shared" si="0"/>
        <v>3.75</v>
      </c>
      <c r="G15">
        <f t="shared" si="1"/>
        <v>5</v>
      </c>
      <c r="H15">
        <f t="shared" si="2"/>
        <v>0.33333333333333331</v>
      </c>
    </row>
    <row r="16" spans="2:8" x14ac:dyDescent="0.3">
      <c r="B16">
        <v>15</v>
      </c>
      <c r="C16">
        <v>0.05</v>
      </c>
      <c r="E16">
        <v>60</v>
      </c>
      <c r="F16">
        <f t="shared" si="0"/>
        <v>3</v>
      </c>
      <c r="G16">
        <f t="shared" si="1"/>
        <v>2</v>
      </c>
      <c r="H16">
        <f t="shared" si="2"/>
        <v>0.13333333333333333</v>
      </c>
    </row>
    <row r="17" spans="2:8" x14ac:dyDescent="0.3">
      <c r="B17">
        <v>15</v>
      </c>
      <c r="C17">
        <v>0.05</v>
      </c>
      <c r="E17">
        <v>25</v>
      </c>
      <c r="F17">
        <f t="shared" si="0"/>
        <v>1.25</v>
      </c>
      <c r="G17">
        <f t="shared" si="1"/>
        <v>0.75</v>
      </c>
      <c r="H17">
        <f t="shared" si="2"/>
        <v>0.05</v>
      </c>
    </row>
    <row r="18" spans="2:8" x14ac:dyDescent="0.3">
      <c r="B18">
        <v>15</v>
      </c>
      <c r="C18">
        <v>0.05</v>
      </c>
      <c r="E18">
        <v>15</v>
      </c>
      <c r="F18">
        <f t="shared" si="0"/>
        <v>0.75</v>
      </c>
      <c r="G18">
        <f t="shared" si="1"/>
        <v>0</v>
      </c>
      <c r="H18">
        <f t="shared" si="2"/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2AEE7-2A47-4D5F-981E-E967ED3E7452}">
  <dimension ref="F3:L26"/>
  <sheetViews>
    <sheetView workbookViewId="0">
      <selection activeCell="K8" sqref="K8"/>
    </sheetView>
  </sheetViews>
  <sheetFormatPr defaultRowHeight="14.4" x14ac:dyDescent="0.3"/>
  <cols>
    <col min="6" max="7" width="14.109375" bestFit="1" customWidth="1"/>
    <col min="8" max="8" width="7.33203125" bestFit="1" customWidth="1"/>
    <col min="9" max="9" width="8.44140625" bestFit="1" customWidth="1"/>
    <col min="10" max="10" width="11.33203125" bestFit="1" customWidth="1"/>
    <col min="11" max="11" width="10" bestFit="1" customWidth="1"/>
    <col min="12" max="12" width="12.33203125" customWidth="1"/>
  </cols>
  <sheetData>
    <row r="3" spans="6:12" x14ac:dyDescent="0.3">
      <c r="F3" t="s">
        <v>4</v>
      </c>
      <c r="G3">
        <v>15</v>
      </c>
    </row>
    <row r="4" spans="6:12" x14ac:dyDescent="0.3">
      <c r="F4" t="s">
        <v>0</v>
      </c>
      <c r="G4">
        <v>0.05</v>
      </c>
    </row>
    <row r="6" spans="6:12" x14ac:dyDescent="0.3">
      <c r="F6" t="s">
        <v>3</v>
      </c>
      <c r="G6">
        <v>15</v>
      </c>
    </row>
    <row r="8" spans="6:12" x14ac:dyDescent="0.3">
      <c r="F8" t="s">
        <v>4</v>
      </c>
      <c r="G8" t="s">
        <v>0</v>
      </c>
      <c r="I8" t="s">
        <v>1</v>
      </c>
      <c r="J8" t="s">
        <v>5</v>
      </c>
      <c r="K8" t="s">
        <v>2</v>
      </c>
      <c r="L8" t="s">
        <v>6</v>
      </c>
    </row>
    <row r="9" spans="6:12" x14ac:dyDescent="0.3">
      <c r="F9">
        <v>15</v>
      </c>
      <c r="G9">
        <f>G4</f>
        <v>0.05</v>
      </c>
      <c r="I9">
        <v>0</v>
      </c>
      <c r="J9">
        <v>0</v>
      </c>
      <c r="K9">
        <f>F9</f>
        <v>15</v>
      </c>
      <c r="L9">
        <f>K9/F9</f>
        <v>1</v>
      </c>
    </row>
    <row r="10" spans="6:12" x14ac:dyDescent="0.3">
      <c r="F10">
        <v>15</v>
      </c>
      <c r="G10">
        <v>0.05</v>
      </c>
      <c r="I10">
        <v>75</v>
      </c>
      <c r="J10">
        <f>I10*G9</f>
        <v>3.75</v>
      </c>
      <c r="K10">
        <f>K9-J10</f>
        <v>11.25</v>
      </c>
      <c r="L10">
        <f>K10/F10</f>
        <v>0.75</v>
      </c>
    </row>
    <row r="11" spans="6:12" x14ac:dyDescent="0.3">
      <c r="F11">
        <v>15</v>
      </c>
      <c r="G11">
        <v>0.05</v>
      </c>
      <c r="I11">
        <v>50</v>
      </c>
      <c r="J11">
        <f>I11*G10</f>
        <v>2.5</v>
      </c>
      <c r="K11">
        <f>K10-J11</f>
        <v>8.75</v>
      </c>
      <c r="L11">
        <f>K11/F11</f>
        <v>0.58333333333333337</v>
      </c>
    </row>
    <row r="12" spans="6:12" x14ac:dyDescent="0.3">
      <c r="F12">
        <v>15</v>
      </c>
      <c r="G12">
        <f>G7</f>
        <v>0</v>
      </c>
      <c r="H12" t="s">
        <v>7</v>
      </c>
      <c r="I12">
        <v>0</v>
      </c>
      <c r="J12">
        <v>0</v>
      </c>
      <c r="K12">
        <f>F12</f>
        <v>15</v>
      </c>
      <c r="L12">
        <f>K12/F12</f>
        <v>1</v>
      </c>
    </row>
    <row r="13" spans="6:12" x14ac:dyDescent="0.3">
      <c r="F13">
        <v>15</v>
      </c>
      <c r="G13">
        <v>0.05</v>
      </c>
    </row>
    <row r="14" spans="6:12" x14ac:dyDescent="0.3">
      <c r="F14">
        <v>15</v>
      </c>
      <c r="G14">
        <v>0.05</v>
      </c>
    </row>
    <row r="15" spans="6:12" x14ac:dyDescent="0.3">
      <c r="F15">
        <v>15</v>
      </c>
      <c r="G15">
        <f>G10</f>
        <v>0.05</v>
      </c>
    </row>
    <row r="16" spans="6:12" x14ac:dyDescent="0.3">
      <c r="F16">
        <v>15</v>
      </c>
      <c r="G16">
        <v>0.05</v>
      </c>
    </row>
    <row r="17" spans="6:9" x14ac:dyDescent="0.3">
      <c r="F17">
        <v>15</v>
      </c>
      <c r="G17">
        <v>0.05</v>
      </c>
    </row>
    <row r="18" spans="6:9" x14ac:dyDescent="0.3">
      <c r="F18">
        <v>15</v>
      </c>
      <c r="G18">
        <f>G13</f>
        <v>0.05</v>
      </c>
    </row>
    <row r="19" spans="6:9" x14ac:dyDescent="0.3">
      <c r="F19">
        <v>15</v>
      </c>
    </row>
    <row r="22" spans="6:9" x14ac:dyDescent="0.3">
      <c r="F22" t="s">
        <v>11</v>
      </c>
      <c r="G22" t="s">
        <v>10</v>
      </c>
      <c r="H22" t="s">
        <v>8</v>
      </c>
      <c r="I22" t="s">
        <v>9</v>
      </c>
    </row>
    <row r="23" spans="6:9" x14ac:dyDescent="0.3">
      <c r="F23" t="s">
        <v>14</v>
      </c>
      <c r="G23" t="s">
        <v>15</v>
      </c>
      <c r="H23" t="s">
        <v>13</v>
      </c>
      <c r="I23" t="s">
        <v>12</v>
      </c>
    </row>
    <row r="25" spans="6:9" x14ac:dyDescent="0.3">
      <c r="F25" t="s">
        <v>16</v>
      </c>
    </row>
    <row r="26" spans="6:9" x14ac:dyDescent="0.3">
      <c r="F26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E8A728-6765-4E84-98E6-7AFC45563330}">
  <dimension ref="G5:K8"/>
  <sheetViews>
    <sheetView workbookViewId="0">
      <selection activeCell="J8" sqref="J8"/>
    </sheetView>
  </sheetViews>
  <sheetFormatPr defaultRowHeight="14.4" x14ac:dyDescent="0.3"/>
  <cols>
    <col min="7" max="7" width="39.77734375" customWidth="1"/>
    <col min="8" max="8" width="12.44140625" customWidth="1"/>
    <col min="9" max="9" width="9.44140625" bestFit="1" customWidth="1"/>
    <col min="10" max="10" width="10.44140625" customWidth="1"/>
    <col min="11" max="11" width="18.88671875" bestFit="1" customWidth="1"/>
  </cols>
  <sheetData>
    <row r="5" spans="7:11" x14ac:dyDescent="0.3">
      <c r="G5" t="s">
        <v>25</v>
      </c>
      <c r="H5" t="s">
        <v>18</v>
      </c>
      <c r="I5" t="s">
        <v>19</v>
      </c>
      <c r="J5" t="s">
        <v>20</v>
      </c>
      <c r="K5" t="s">
        <v>21</v>
      </c>
    </row>
    <row r="6" spans="7:11" x14ac:dyDescent="0.3">
      <c r="G6" t="s">
        <v>22</v>
      </c>
      <c r="H6">
        <v>0</v>
      </c>
      <c r="I6">
        <v>0</v>
      </c>
      <c r="J6" t="s">
        <v>23</v>
      </c>
      <c r="K6" t="s">
        <v>24</v>
      </c>
    </row>
    <row r="7" spans="7:11" x14ac:dyDescent="0.3">
      <c r="G7" t="s">
        <v>26</v>
      </c>
      <c r="H7">
        <v>0</v>
      </c>
      <c r="I7">
        <v>60</v>
      </c>
      <c r="J7" t="s">
        <v>23</v>
      </c>
      <c r="K7" t="s">
        <v>24</v>
      </c>
    </row>
    <row r="8" spans="7:11" x14ac:dyDescent="0.3">
      <c r="G8" t="s">
        <v>27</v>
      </c>
      <c r="H8">
        <v>-120</v>
      </c>
      <c r="I8">
        <v>60</v>
      </c>
      <c r="J8" t="s">
        <v>28</v>
      </c>
      <c r="K8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42B3E-9567-4AC5-8FF2-4527A422CDA5}">
  <dimension ref="H3:N11"/>
  <sheetViews>
    <sheetView workbookViewId="0">
      <selection activeCell="L23" sqref="L23"/>
    </sheetView>
  </sheetViews>
  <sheetFormatPr defaultRowHeight="14.4" x14ac:dyDescent="0.3"/>
  <cols>
    <col min="9" max="9" width="12.88671875" bestFit="1" customWidth="1"/>
    <col min="10" max="10" width="12.44140625" bestFit="1" customWidth="1"/>
  </cols>
  <sheetData>
    <row r="3" spans="8:14" x14ac:dyDescent="0.3">
      <c r="I3" t="s">
        <v>37</v>
      </c>
    </row>
    <row r="4" spans="8:14" x14ac:dyDescent="0.3">
      <c r="J4" t="s">
        <v>41</v>
      </c>
      <c r="K4" t="s">
        <v>40</v>
      </c>
    </row>
    <row r="5" spans="8:14" x14ac:dyDescent="0.3">
      <c r="J5" t="s">
        <v>42</v>
      </c>
      <c r="K5" t="s">
        <v>43</v>
      </c>
    </row>
    <row r="8" spans="8:14" x14ac:dyDescent="0.3">
      <c r="H8" t="s">
        <v>38</v>
      </c>
      <c r="M8" t="s">
        <v>39</v>
      </c>
    </row>
    <row r="9" spans="8:14" x14ac:dyDescent="0.3">
      <c r="I9" t="s">
        <v>41</v>
      </c>
    </row>
    <row r="10" spans="8:14" x14ac:dyDescent="0.3">
      <c r="I10" t="s">
        <v>42</v>
      </c>
      <c r="J10" t="s">
        <v>43</v>
      </c>
      <c r="M10" t="s">
        <v>42</v>
      </c>
      <c r="N10" t="s">
        <v>43</v>
      </c>
    </row>
    <row r="11" spans="8:14" x14ac:dyDescent="0.3">
      <c r="J11" t="s">
        <v>44</v>
      </c>
      <c r="N11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8B0F5-EBBE-43FB-B76D-76A1F84FE911}">
  <dimension ref="C1:P32"/>
  <sheetViews>
    <sheetView topLeftCell="A16" workbookViewId="0">
      <selection activeCell="H32" sqref="H32"/>
    </sheetView>
  </sheetViews>
  <sheetFormatPr defaultRowHeight="14.4" x14ac:dyDescent="0.3"/>
  <cols>
    <col min="4" max="4" width="11.5546875" customWidth="1"/>
    <col min="6" max="6" width="13.44140625" bestFit="1" customWidth="1"/>
    <col min="7" max="7" width="13.77734375" customWidth="1"/>
  </cols>
  <sheetData>
    <row r="1" spans="3:15" x14ac:dyDescent="0.3">
      <c r="C1" t="s">
        <v>46</v>
      </c>
      <c r="D1" t="s">
        <v>47</v>
      </c>
    </row>
    <row r="3" spans="3:15" x14ac:dyDescent="0.3">
      <c r="D3" t="s">
        <v>48</v>
      </c>
      <c r="E3" t="s">
        <v>49</v>
      </c>
    </row>
    <row r="5" spans="3:15" x14ac:dyDescent="0.3">
      <c r="E5" t="s">
        <v>116</v>
      </c>
    </row>
    <row r="7" spans="3:15" x14ac:dyDescent="0.3">
      <c r="F7" t="s">
        <v>50</v>
      </c>
      <c r="G7" t="s">
        <v>53</v>
      </c>
      <c r="H7" t="s">
        <v>51</v>
      </c>
      <c r="I7" t="s">
        <v>55</v>
      </c>
      <c r="J7" t="s">
        <v>52</v>
      </c>
      <c r="K7" t="s">
        <v>56</v>
      </c>
    </row>
    <row r="8" spans="3:15" x14ac:dyDescent="0.3">
      <c r="G8" t="s">
        <v>54</v>
      </c>
      <c r="H8" t="s">
        <v>57</v>
      </c>
      <c r="I8" t="s">
        <v>51</v>
      </c>
      <c r="J8" t="s">
        <v>58</v>
      </c>
      <c r="K8" t="s">
        <v>59</v>
      </c>
      <c r="L8" t="s">
        <v>60</v>
      </c>
      <c r="M8" t="s">
        <v>61</v>
      </c>
      <c r="N8" t="s">
        <v>62</v>
      </c>
      <c r="O8" t="s">
        <v>63</v>
      </c>
    </row>
    <row r="11" spans="3:15" x14ac:dyDescent="0.3">
      <c r="F11" t="s">
        <v>64</v>
      </c>
    </row>
    <row r="12" spans="3:15" x14ac:dyDescent="0.3">
      <c r="F12" t="s">
        <v>65</v>
      </c>
    </row>
    <row r="13" spans="3:15" x14ac:dyDescent="0.3">
      <c r="G13" t="s">
        <v>66</v>
      </c>
    </row>
    <row r="14" spans="3:15" x14ac:dyDescent="0.3">
      <c r="F14" t="s">
        <v>67</v>
      </c>
    </row>
    <row r="15" spans="3:15" x14ac:dyDescent="0.3">
      <c r="G15" t="s">
        <v>68</v>
      </c>
    </row>
    <row r="16" spans="3:15" x14ac:dyDescent="0.3">
      <c r="F16" t="s">
        <v>71</v>
      </c>
    </row>
    <row r="18" spans="5:16" x14ac:dyDescent="0.3">
      <c r="F18" t="s">
        <v>69</v>
      </c>
    </row>
    <row r="19" spans="5:16" x14ac:dyDescent="0.3">
      <c r="F19" t="s">
        <v>65</v>
      </c>
    </row>
    <row r="20" spans="5:16" x14ac:dyDescent="0.3">
      <c r="F20" t="s">
        <v>67</v>
      </c>
    </row>
    <row r="21" spans="5:16" x14ac:dyDescent="0.3">
      <c r="G21" t="s">
        <v>70</v>
      </c>
      <c r="I21" t="s">
        <v>57</v>
      </c>
      <c r="K21" t="s">
        <v>58</v>
      </c>
      <c r="L21" t="s">
        <v>59</v>
      </c>
      <c r="M21" t="s">
        <v>60</v>
      </c>
      <c r="N21" t="s">
        <v>61</v>
      </c>
      <c r="O21" t="s">
        <v>62</v>
      </c>
      <c r="P21" t="s">
        <v>63</v>
      </c>
    </row>
    <row r="22" spans="5:16" x14ac:dyDescent="0.3">
      <c r="F22" t="s">
        <v>72</v>
      </c>
    </row>
    <row r="24" spans="5:16" x14ac:dyDescent="0.3">
      <c r="E24" t="s">
        <v>122</v>
      </c>
    </row>
    <row r="25" spans="5:16" x14ac:dyDescent="0.3">
      <c r="F25" t="s">
        <v>50</v>
      </c>
      <c r="G25" t="s">
        <v>113</v>
      </c>
    </row>
    <row r="26" spans="5:16" x14ac:dyDescent="0.3">
      <c r="H26" t="s">
        <v>114</v>
      </c>
      <c r="I26" t="s">
        <v>115</v>
      </c>
    </row>
    <row r="28" spans="5:16" x14ac:dyDescent="0.3">
      <c r="F28" t="s">
        <v>117</v>
      </c>
    </row>
    <row r="29" spans="5:16" x14ac:dyDescent="0.3">
      <c r="G29" t="s">
        <v>118</v>
      </c>
    </row>
    <row r="30" spans="5:16" x14ac:dyDescent="0.3">
      <c r="G30" t="s">
        <v>119</v>
      </c>
    </row>
    <row r="31" spans="5:16" x14ac:dyDescent="0.3">
      <c r="H31" t="s">
        <v>120</v>
      </c>
    </row>
    <row r="32" spans="5:16" x14ac:dyDescent="0.3">
      <c r="H32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D5C1B-0A68-4559-9466-4CCE32F032D5}">
  <dimension ref="D3:T55"/>
  <sheetViews>
    <sheetView topLeftCell="A37" workbookViewId="0">
      <selection activeCell="I55" sqref="I55"/>
    </sheetView>
  </sheetViews>
  <sheetFormatPr defaultRowHeight="14.4" x14ac:dyDescent="0.3"/>
  <sheetData>
    <row r="3" spans="6:20" x14ac:dyDescent="0.3">
      <c r="F3" s="2" t="s">
        <v>80</v>
      </c>
      <c r="G3" s="6"/>
      <c r="H3" s="3"/>
      <c r="J3" s="2" t="s">
        <v>73</v>
      </c>
      <c r="K3" s="6"/>
      <c r="L3" s="3"/>
    </row>
    <row r="4" spans="6:20" x14ac:dyDescent="0.3">
      <c r="F4" s="7"/>
      <c r="G4" t="s">
        <v>81</v>
      </c>
      <c r="H4" s="8"/>
      <c r="J4" s="7"/>
      <c r="K4" t="s">
        <v>77</v>
      </c>
      <c r="L4" s="8"/>
    </row>
    <row r="5" spans="6:20" x14ac:dyDescent="0.3">
      <c r="F5" s="7"/>
      <c r="H5" s="8"/>
      <c r="J5" s="7"/>
      <c r="L5" s="8" t="s">
        <v>125</v>
      </c>
    </row>
    <row r="6" spans="6:20" x14ac:dyDescent="0.3">
      <c r="F6" s="7"/>
      <c r="G6" t="s">
        <v>82</v>
      </c>
      <c r="H6" s="8"/>
      <c r="J6" s="7"/>
      <c r="K6" t="s">
        <v>78</v>
      </c>
      <c r="L6" s="8"/>
      <c r="N6" t="s">
        <v>76</v>
      </c>
      <c r="P6" s="2" t="s">
        <v>74</v>
      </c>
      <c r="Q6" s="6"/>
      <c r="R6" s="6"/>
      <c r="S6" s="6"/>
      <c r="T6" s="3"/>
    </row>
    <row r="7" spans="6:20" x14ac:dyDescent="0.3">
      <c r="F7" s="7"/>
      <c r="H7" s="8"/>
      <c r="J7" s="7"/>
      <c r="L7" s="8" t="s">
        <v>79</v>
      </c>
      <c r="P7" s="7" t="s">
        <v>75</v>
      </c>
      <c r="T7" s="8"/>
    </row>
    <row r="8" spans="6:20" x14ac:dyDescent="0.3">
      <c r="F8" s="7"/>
      <c r="H8" s="8"/>
      <c r="J8" s="7"/>
      <c r="L8" s="8" t="s">
        <v>123</v>
      </c>
      <c r="P8" s="7" t="s">
        <v>124</v>
      </c>
      <c r="T8" s="8"/>
    </row>
    <row r="9" spans="6:20" x14ac:dyDescent="0.3">
      <c r="F9" s="4"/>
      <c r="G9" s="9"/>
      <c r="H9" s="5"/>
      <c r="J9" s="4"/>
      <c r="K9" s="9"/>
      <c r="L9" s="5"/>
      <c r="P9" s="4"/>
      <c r="Q9" s="9"/>
      <c r="R9" s="9"/>
      <c r="S9" s="9"/>
      <c r="T9" s="5"/>
    </row>
    <row r="13" spans="6:20" x14ac:dyDescent="0.3">
      <c r="G13" t="s">
        <v>83</v>
      </c>
    </row>
    <row r="15" spans="6:20" x14ac:dyDescent="0.3">
      <c r="G15" t="s">
        <v>47</v>
      </c>
    </row>
    <row r="17" spans="7:17" x14ac:dyDescent="0.3">
      <c r="G17" t="s">
        <v>84</v>
      </c>
    </row>
    <row r="19" spans="7:17" x14ac:dyDescent="0.3">
      <c r="G19" s="2" t="s">
        <v>85</v>
      </c>
      <c r="H19" s="6"/>
      <c r="I19" s="6"/>
      <c r="J19" s="6"/>
      <c r="K19" s="6"/>
      <c r="L19" s="6"/>
      <c r="M19" s="6"/>
      <c r="N19" s="6"/>
      <c r="O19" s="3"/>
    </row>
    <row r="20" spans="7:17" x14ac:dyDescent="0.3">
      <c r="G20" s="7"/>
      <c r="H20" s="11" t="s">
        <v>87</v>
      </c>
      <c r="I20" s="11"/>
      <c r="J20" s="11"/>
      <c r="K20" s="11"/>
      <c r="L20" s="11"/>
      <c r="O20" s="8"/>
    </row>
    <row r="21" spans="7:17" x14ac:dyDescent="0.3">
      <c r="G21" s="7"/>
      <c r="H21" s="13" t="s">
        <v>91</v>
      </c>
      <c r="I21" s="11"/>
      <c r="J21" s="11"/>
      <c r="K21" s="11"/>
      <c r="L21" s="11"/>
      <c r="O21" s="8"/>
    </row>
    <row r="22" spans="7:17" x14ac:dyDescent="0.3">
      <c r="G22" s="7"/>
      <c r="H22" s="11"/>
      <c r="I22" s="11"/>
      <c r="J22" s="11"/>
      <c r="K22" s="12"/>
      <c r="L22" s="13" t="s">
        <v>94</v>
      </c>
      <c r="O22" s="8"/>
    </row>
    <row r="23" spans="7:17" x14ac:dyDescent="0.3">
      <c r="G23" s="7"/>
      <c r="H23" s="11"/>
      <c r="I23" s="11"/>
      <c r="J23" s="11"/>
      <c r="K23" s="11"/>
      <c r="L23" s="11"/>
      <c r="O23" s="8"/>
    </row>
    <row r="24" spans="7:17" x14ac:dyDescent="0.3">
      <c r="G24" s="7"/>
      <c r="H24" s="11"/>
      <c r="I24" s="11"/>
      <c r="J24" s="11"/>
      <c r="K24" s="11"/>
      <c r="L24" s="11"/>
      <c r="N24" s="10" t="s">
        <v>88</v>
      </c>
      <c r="O24" s="8"/>
      <c r="Q24" t="s">
        <v>86</v>
      </c>
    </row>
    <row r="25" spans="7:17" x14ac:dyDescent="0.3">
      <c r="G25" s="7"/>
      <c r="H25" s="11"/>
      <c r="I25" s="11"/>
      <c r="J25" s="12"/>
      <c r="K25" s="11"/>
      <c r="L25" s="11"/>
      <c r="N25" s="10" t="s">
        <v>89</v>
      </c>
      <c r="O25" s="8"/>
    </row>
    <row r="26" spans="7:17" x14ac:dyDescent="0.3">
      <c r="G26" s="7"/>
      <c r="H26" s="13" t="s">
        <v>92</v>
      </c>
      <c r="I26" s="11"/>
      <c r="J26" s="11"/>
      <c r="K26" s="13" t="s">
        <v>93</v>
      </c>
      <c r="L26" s="11"/>
      <c r="N26" s="10"/>
      <c r="O26" s="8"/>
    </row>
    <row r="27" spans="7:17" x14ac:dyDescent="0.3">
      <c r="G27" s="7"/>
      <c r="H27" s="11"/>
      <c r="I27" s="11"/>
      <c r="J27" s="11"/>
      <c r="K27" s="11"/>
      <c r="L27" s="11"/>
      <c r="N27" s="10" t="s">
        <v>90</v>
      </c>
      <c r="O27" s="8"/>
    </row>
    <row r="28" spans="7:17" x14ac:dyDescent="0.3">
      <c r="G28" s="7"/>
      <c r="H28" s="11"/>
      <c r="I28" s="11"/>
      <c r="J28" s="11"/>
      <c r="K28" s="11"/>
      <c r="L28" s="11"/>
      <c r="O28" s="8"/>
    </row>
    <row r="29" spans="7:17" x14ac:dyDescent="0.3">
      <c r="G29" s="4"/>
      <c r="H29" s="9"/>
      <c r="I29" s="9"/>
      <c r="J29" s="9"/>
      <c r="K29" s="9"/>
      <c r="L29" s="9"/>
      <c r="M29" s="9"/>
      <c r="N29" s="9"/>
      <c r="O29" s="5"/>
    </row>
    <row r="32" spans="7:17" x14ac:dyDescent="0.3">
      <c r="H32" t="s">
        <v>96</v>
      </c>
    </row>
    <row r="33" spans="4:11" x14ac:dyDescent="0.3">
      <c r="I33" s="12"/>
      <c r="J33" s="12"/>
      <c r="K33" s="12"/>
    </row>
    <row r="34" spans="4:11" x14ac:dyDescent="0.3">
      <c r="I34" s="12"/>
      <c r="J34" s="12"/>
      <c r="K34" s="12"/>
    </row>
    <row r="35" spans="4:11" x14ac:dyDescent="0.3">
      <c r="I35" s="12"/>
      <c r="J35" s="12" t="s">
        <v>95</v>
      </c>
      <c r="K35" s="12"/>
    </row>
    <row r="36" spans="4:11" x14ac:dyDescent="0.3">
      <c r="I36" s="12"/>
      <c r="J36" s="12"/>
      <c r="K36" s="12"/>
    </row>
    <row r="37" spans="4:11" x14ac:dyDescent="0.3">
      <c r="I37" s="12"/>
      <c r="J37" s="12"/>
      <c r="K37" s="12"/>
    </row>
    <row r="39" spans="4:11" x14ac:dyDescent="0.3">
      <c r="D39" t="s">
        <v>101</v>
      </c>
      <c r="E39" t="s">
        <v>112</v>
      </c>
      <c r="H39" t="s">
        <v>87</v>
      </c>
    </row>
    <row r="40" spans="4:11" x14ac:dyDescent="0.3">
      <c r="E40" t="s">
        <v>102</v>
      </c>
      <c r="I40" t="s">
        <v>98</v>
      </c>
    </row>
    <row r="41" spans="4:11" x14ac:dyDescent="0.3">
      <c r="E41" t="s">
        <v>103</v>
      </c>
    </row>
    <row r="42" spans="4:11" x14ac:dyDescent="0.3">
      <c r="E42" t="s">
        <v>107</v>
      </c>
      <c r="H42" t="s">
        <v>97</v>
      </c>
    </row>
    <row r="43" spans="4:11" x14ac:dyDescent="0.3">
      <c r="E43" t="s">
        <v>108</v>
      </c>
      <c r="I43" t="s">
        <v>100</v>
      </c>
    </row>
    <row r="44" spans="4:11" x14ac:dyDescent="0.3">
      <c r="E44" t="s">
        <v>109</v>
      </c>
      <c r="J44" t="s">
        <v>99</v>
      </c>
    </row>
    <row r="46" spans="4:11" x14ac:dyDescent="0.3">
      <c r="H46" t="s">
        <v>110</v>
      </c>
    </row>
    <row r="47" spans="4:11" x14ac:dyDescent="0.3">
      <c r="E47" t="s">
        <v>104</v>
      </c>
    </row>
    <row r="48" spans="4:11" x14ac:dyDescent="0.3">
      <c r="E48" t="s">
        <v>105</v>
      </c>
    </row>
    <row r="49" spans="4:8" x14ac:dyDescent="0.3">
      <c r="E49" t="s">
        <v>106</v>
      </c>
      <c r="H49" t="s">
        <v>111</v>
      </c>
    </row>
    <row r="53" spans="4:8" x14ac:dyDescent="0.3">
      <c r="D53" t="s">
        <v>126</v>
      </c>
    </row>
    <row r="54" spans="4:8" x14ac:dyDescent="0.3">
      <c r="E54" t="s">
        <v>127</v>
      </c>
      <c r="G54" t="s">
        <v>123</v>
      </c>
    </row>
    <row r="55" spans="4:8" x14ac:dyDescent="0.3">
      <c r="H55" t="s">
        <v>128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1224-06E7-451A-AAFD-053F2614A910}">
  <dimension ref="A1:CW3"/>
  <sheetViews>
    <sheetView tabSelected="1" zoomScale="70" zoomScaleNormal="70" workbookViewId="0">
      <selection activeCell="AK8" sqref="AK8"/>
    </sheetView>
  </sheetViews>
  <sheetFormatPr defaultRowHeight="14.4" x14ac:dyDescent="0.3"/>
  <cols>
    <col min="1" max="144" width="2.77734375" customWidth="1"/>
  </cols>
  <sheetData>
    <row r="1" spans="1:101" x14ac:dyDescent="0.3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</v>
      </c>
      <c r="L1">
        <v>2</v>
      </c>
      <c r="M1">
        <v>3</v>
      </c>
      <c r="N1">
        <v>4</v>
      </c>
      <c r="O1">
        <v>5</v>
      </c>
      <c r="P1">
        <v>6</v>
      </c>
      <c r="Q1">
        <v>7</v>
      </c>
      <c r="R1">
        <v>8</v>
      </c>
      <c r="S1">
        <v>9</v>
      </c>
      <c r="T1">
        <v>10</v>
      </c>
      <c r="U1">
        <v>1</v>
      </c>
      <c r="V1">
        <v>2</v>
      </c>
      <c r="W1">
        <v>3</v>
      </c>
      <c r="X1">
        <v>4</v>
      </c>
      <c r="Y1">
        <v>5</v>
      </c>
      <c r="Z1">
        <v>6</v>
      </c>
      <c r="AA1">
        <v>7</v>
      </c>
      <c r="AB1">
        <v>8</v>
      </c>
      <c r="AC1">
        <v>9</v>
      </c>
      <c r="AD1">
        <v>10</v>
      </c>
      <c r="AE1">
        <v>1</v>
      </c>
      <c r="AF1">
        <v>2</v>
      </c>
      <c r="AG1">
        <v>3</v>
      </c>
      <c r="AH1">
        <v>4</v>
      </c>
      <c r="AI1">
        <v>5</v>
      </c>
      <c r="AJ1">
        <v>6</v>
      </c>
      <c r="AK1">
        <v>7</v>
      </c>
      <c r="AL1">
        <v>8</v>
      </c>
      <c r="AM1">
        <v>9</v>
      </c>
      <c r="AN1">
        <v>10</v>
      </c>
      <c r="AO1">
        <v>1</v>
      </c>
      <c r="AP1">
        <v>2</v>
      </c>
      <c r="AQ1">
        <v>3</v>
      </c>
      <c r="AR1">
        <v>4</v>
      </c>
      <c r="AS1">
        <v>5</v>
      </c>
      <c r="AT1">
        <v>6</v>
      </c>
      <c r="AU1">
        <v>7</v>
      </c>
      <c r="AV1">
        <v>8</v>
      </c>
      <c r="AW1">
        <v>9</v>
      </c>
      <c r="AX1">
        <v>10</v>
      </c>
      <c r="AY1">
        <v>1</v>
      </c>
      <c r="AZ1">
        <v>2</v>
      </c>
      <c r="BA1">
        <v>3</v>
      </c>
      <c r="BB1">
        <v>4</v>
      </c>
      <c r="BC1">
        <v>5</v>
      </c>
      <c r="BD1">
        <v>6</v>
      </c>
      <c r="BE1">
        <v>7</v>
      </c>
      <c r="BF1">
        <v>8</v>
      </c>
      <c r="BG1">
        <v>9</v>
      </c>
      <c r="BH1">
        <v>10</v>
      </c>
      <c r="BI1">
        <v>1</v>
      </c>
      <c r="BJ1">
        <v>2</v>
      </c>
      <c r="BK1">
        <v>3</v>
      </c>
      <c r="BL1">
        <v>4</v>
      </c>
      <c r="BM1">
        <v>5</v>
      </c>
      <c r="BN1">
        <v>6</v>
      </c>
      <c r="BO1">
        <v>7</v>
      </c>
      <c r="BP1">
        <v>8</v>
      </c>
      <c r="BQ1">
        <v>9</v>
      </c>
      <c r="BR1">
        <v>10</v>
      </c>
      <c r="BS1">
        <v>1</v>
      </c>
      <c r="BT1">
        <v>2</v>
      </c>
      <c r="BU1">
        <v>3</v>
      </c>
      <c r="BV1">
        <v>4</v>
      </c>
      <c r="BW1">
        <v>5</v>
      </c>
      <c r="BX1">
        <v>6</v>
      </c>
      <c r="BY1">
        <v>7</v>
      </c>
      <c r="BZ1">
        <v>8</v>
      </c>
      <c r="CA1">
        <v>9</v>
      </c>
      <c r="CB1">
        <v>10</v>
      </c>
      <c r="CC1">
        <v>1</v>
      </c>
      <c r="CD1">
        <v>2</v>
      </c>
      <c r="CE1">
        <v>3</v>
      </c>
      <c r="CF1">
        <v>4</v>
      </c>
      <c r="CG1">
        <v>5</v>
      </c>
      <c r="CH1">
        <v>6</v>
      </c>
      <c r="CI1">
        <v>7</v>
      </c>
      <c r="CJ1">
        <v>8</v>
      </c>
      <c r="CK1">
        <v>9</v>
      </c>
      <c r="CL1">
        <v>10</v>
      </c>
      <c r="CM1">
        <v>1</v>
      </c>
      <c r="CN1">
        <v>2</v>
      </c>
      <c r="CO1">
        <v>3</v>
      </c>
      <c r="CP1">
        <v>4</v>
      </c>
      <c r="CQ1">
        <v>5</v>
      </c>
      <c r="CR1">
        <v>6</v>
      </c>
      <c r="CS1">
        <v>7</v>
      </c>
      <c r="CT1">
        <v>8</v>
      </c>
      <c r="CU1">
        <v>9</v>
      </c>
      <c r="CV1">
        <v>10</v>
      </c>
      <c r="CW1">
        <v>1</v>
      </c>
    </row>
    <row r="2" spans="1:101" x14ac:dyDescent="0.3">
      <c r="A2">
        <v>0</v>
      </c>
      <c r="K2">
        <v>1</v>
      </c>
      <c r="U2">
        <v>2</v>
      </c>
      <c r="AE2">
        <v>3</v>
      </c>
      <c r="AO2">
        <v>4</v>
      </c>
      <c r="AY2">
        <v>5</v>
      </c>
      <c r="BI2">
        <v>6</v>
      </c>
      <c r="BS2">
        <v>7</v>
      </c>
      <c r="CC2">
        <v>8</v>
      </c>
      <c r="CM2">
        <v>9</v>
      </c>
      <c r="CW2">
        <v>0</v>
      </c>
    </row>
    <row r="3" spans="1:101" x14ac:dyDescent="0.3">
      <c r="K3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43BAB-DCF5-4FE9-88FC-DB471EA141B5}">
  <dimension ref="F10:L15"/>
  <sheetViews>
    <sheetView workbookViewId="0">
      <selection activeCell="I14" sqref="I14"/>
    </sheetView>
  </sheetViews>
  <sheetFormatPr defaultRowHeight="14.4" x14ac:dyDescent="0.3"/>
  <cols>
    <col min="6" max="6" width="23.77734375" customWidth="1"/>
    <col min="11" max="11" width="11.5546875" customWidth="1"/>
    <col min="12" max="12" width="14.21875" customWidth="1"/>
  </cols>
  <sheetData>
    <row r="10" spans="6:12" x14ac:dyDescent="0.3">
      <c r="I10" s="14" t="s">
        <v>31</v>
      </c>
      <c r="J10" s="14"/>
      <c r="K10" s="14"/>
      <c r="L10" s="14"/>
    </row>
    <row r="11" spans="6:12" x14ac:dyDescent="0.3">
      <c r="I11" s="1" t="s">
        <v>28</v>
      </c>
      <c r="J11" s="1" t="s">
        <v>32</v>
      </c>
      <c r="K11" s="1" t="s">
        <v>23</v>
      </c>
      <c r="L11" s="1" t="s">
        <v>33</v>
      </c>
    </row>
    <row r="12" spans="6:12" ht="34.950000000000003" customHeight="1" x14ac:dyDescent="0.3">
      <c r="F12" s="15" t="s">
        <v>21</v>
      </c>
      <c r="G12" s="1" t="s">
        <v>30</v>
      </c>
      <c r="H12" s="1"/>
      <c r="I12" t="s">
        <v>36</v>
      </c>
      <c r="J12" t="s">
        <v>35</v>
      </c>
      <c r="K12" t="str">
        <f>G12</f>
        <v>Y Plus</v>
      </c>
      <c r="L12" t="s">
        <v>34</v>
      </c>
    </row>
    <row r="13" spans="6:12" ht="34.950000000000003" customHeight="1" x14ac:dyDescent="0.3">
      <c r="F13" s="15"/>
      <c r="G13" s="1" t="s">
        <v>34</v>
      </c>
      <c r="H13" s="1"/>
      <c r="I13" t="s">
        <v>34</v>
      </c>
      <c r="J13" t="s">
        <v>34</v>
      </c>
      <c r="K13" t="str">
        <f t="shared" ref="K13:K15" si="0">G13</f>
        <v>Y Minus</v>
      </c>
      <c r="L13" t="s">
        <v>34</v>
      </c>
    </row>
    <row r="14" spans="6:12" ht="34.950000000000003" customHeight="1" x14ac:dyDescent="0.3">
      <c r="F14" s="15"/>
      <c r="G14" s="1" t="s">
        <v>35</v>
      </c>
      <c r="H14" s="1"/>
      <c r="I14" t="s">
        <v>35</v>
      </c>
      <c r="J14" t="s">
        <v>35</v>
      </c>
      <c r="K14" t="str">
        <f t="shared" si="0"/>
        <v>X Plus</v>
      </c>
      <c r="L14" t="s">
        <v>35</v>
      </c>
    </row>
    <row r="15" spans="6:12" ht="34.950000000000003" customHeight="1" x14ac:dyDescent="0.3">
      <c r="F15" s="15"/>
      <c r="G15" s="1" t="s">
        <v>36</v>
      </c>
      <c r="H15" s="1"/>
      <c r="I15" t="s">
        <v>36</v>
      </c>
      <c r="J15" t="s">
        <v>36</v>
      </c>
      <c r="K15" t="str">
        <f t="shared" si="0"/>
        <v>X Minus</v>
      </c>
      <c r="L15" t="s">
        <v>36</v>
      </c>
    </row>
  </sheetData>
  <mergeCells count="2">
    <mergeCell ref="I10:L10"/>
    <mergeCell ref="F12:F1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TC-D5</vt:lpstr>
      <vt:lpstr>TC-D2-FG-D1</vt:lpstr>
      <vt:lpstr>Sheet1</vt:lpstr>
      <vt:lpstr>Design</vt:lpstr>
      <vt:lpstr>Database-Design</vt:lpstr>
      <vt:lpstr>App-Design</vt:lpstr>
      <vt:lpstr>Map</vt:lpstr>
      <vt:lpstr>CoordinateDirection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Kungfu Joe</dc:creator>
  <cp:lastModifiedBy>Kungfu Joe</cp:lastModifiedBy>
  <dcterms:created xsi:type="dcterms:W3CDTF">2025-06-05T15:47:44Z</dcterms:created>
  <dcterms:modified xsi:type="dcterms:W3CDTF">2025-07-18T14:51:14Z</dcterms:modified>
</cp:coreProperties>
</file>